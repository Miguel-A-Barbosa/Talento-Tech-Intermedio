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USUARIO\Documents\Ad Astra Per Aspera\Studies\Talento Tech\Trabajos\Componente Técnico\Módulo 1\Práctica Excel\"/>
    </mc:Choice>
  </mc:AlternateContent>
  <xr:revisionPtr revIDLastSave="0" documentId="13_ncr:1_{FDC045CF-ED97-4E14-A9D1-3CFFDA028463}" xr6:coauthVersionLast="47" xr6:coauthVersionMax="47" xr10:uidLastSave="{00000000-0000-0000-0000-000000000000}"/>
  <bookViews>
    <workbookView xWindow="-120" yWindow="-120" windowWidth="29040" windowHeight="15840" xr2:uid="{00000000-000D-0000-FFFF-FFFF00000000}"/>
  </bookViews>
  <sheets>
    <sheet name="Datos De Ventas" sheetId="2" r:id="rId1"/>
    <sheet name="Preguntas De Negocio" sheetId="8" r:id="rId2"/>
  </sheets>
  <functionGroups builtInGroupCount="19"/>
  <definedNames>
    <definedName name="ExternalData_1" localSheetId="0" hidden="1">'Datos De Ventas'!$B$26:$B$27</definedName>
    <definedName name="Slicer_Fecha">#N/A</definedName>
    <definedName name="Slicer_Producto">#N/A</definedName>
    <definedName name="Slicer_Region">#N/A</definedName>
    <definedName name="Slicer_Vendedor">#N/A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
        <x14:slicerCache r:id="rId4"/>
        <x14:slicerCache r:id="rId5"/>
        <x14:slicerCache r:id="rId6"/>
      </x15:slicerCaches>
    </ext>
    <ext uri="GoogleSheetsCustomDataVersion2">
      <go:sheetsCustomData xmlns:go="http://customooxmlschemas.google.com/" r:id="rId7" roundtripDataChecksum="yJ3Ehkbl2vMcSpKcyvctSbjZK1CdC43at7jUrm4E1KI="/>
    </ext>
  </extLst>
</workbook>
</file>

<file path=xl/calcChain.xml><?xml version="1.0" encoding="utf-8"?>
<calcChain xmlns="http://schemas.openxmlformats.org/spreadsheetml/2006/main">
  <c r="B27" i="8" l="1"/>
  <c r="G4" i="2"/>
  <c r="G6" i="2"/>
  <c r="G9" i="2"/>
  <c r="G10" i="2"/>
  <c r="G3" i="2"/>
  <c r="G5" i="2"/>
  <c r="G8" i="2"/>
  <c r="G7" i="2"/>
  <c r="G11" i="2"/>
  <c r="G12" i="2"/>
  <c r="G13" i="2"/>
  <c r="B21" i="8" s="1"/>
  <c r="G14" i="2"/>
  <c r="G15" i="2"/>
  <c r="G20" i="2"/>
  <c r="G16" i="2"/>
  <c r="G18" i="2"/>
  <c r="G17" i="2"/>
  <c r="G19" i="2"/>
  <c r="L28" i="8"/>
  <c r="L15" i="8" l="1"/>
  <c r="L22" i="8"/>
  <c r="L9" i="8"/>
  <c r="B15" i="8"/>
  <c r="B9" i="8"/>
  <c r="L3" i="8"/>
  <c r="B3" i="8"/>
  <c r="G21" i="2"/>
  <c r="G22" i="2"/>
  <c r="H8" i="2" l="1"/>
  <c r="H7" i="2"/>
  <c r="H20" i="2"/>
  <c r="H5" i="2"/>
  <c r="H6" i="2"/>
  <c r="H15" i="2"/>
  <c r="H3" i="2"/>
  <c r="H17" i="2"/>
  <c r="H10" i="2"/>
  <c r="H12" i="2"/>
  <c r="H4" i="2"/>
  <c r="H14" i="2"/>
  <c r="H16" i="2"/>
  <c r="H18" i="2"/>
  <c r="H19" i="2"/>
  <c r="H11" i="2"/>
  <c r="H9" i="2"/>
  <c r="H13"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ECA757C-81F0-4A24-BE93-33215E020E77}" keepAlive="1" name="Query - Currency" description="Connection to the 'Currency' query in the workbook." type="5" refreshedVersion="8" background="1" refreshOnLoad="1" saveData="1">
    <dbPr connection="Provider=Microsoft.Mashup.OleDb.1;Data Source=$Workbook$;Location=Currency;Extended Properties=&quot;&quot;" command="SELECT * FROM [Currency]"/>
  </connection>
</connections>
</file>

<file path=xl/sharedStrings.xml><?xml version="1.0" encoding="utf-8"?>
<sst xmlns="http://schemas.openxmlformats.org/spreadsheetml/2006/main" count="73" uniqueCount="31">
  <si>
    <t>Fecha</t>
  </si>
  <si>
    <t>Region</t>
  </si>
  <si>
    <t>Producto</t>
  </si>
  <si>
    <t>Vendedor</t>
  </si>
  <si>
    <t>Central</t>
  </si>
  <si>
    <t>Accesorios</t>
  </si>
  <si>
    <t>David</t>
  </si>
  <si>
    <t>Karen</t>
  </si>
  <si>
    <t>Dispositivos</t>
  </si>
  <si>
    <t>Sistemas</t>
  </si>
  <si>
    <t>Este</t>
  </si>
  <si>
    <t>Ana</t>
  </si>
  <si>
    <t>Lucas</t>
  </si>
  <si>
    <t>Oeste</t>
  </si>
  <si>
    <t>Kevin</t>
  </si>
  <si>
    <t>Sara</t>
  </si>
  <si>
    <t>EXCHANGE</t>
  </si>
  <si>
    <t>Ventas Euros</t>
  </si>
  <si>
    <t>Ventas COP</t>
  </si>
  <si>
    <t>1 EUR a COP actual</t>
  </si>
  <si>
    <t>VISUALIZACIÓN</t>
  </si>
  <si>
    <t>1. ¿Cuál fue el total de las ventas?</t>
  </si>
  <si>
    <t>2. ¿Cuál fue la región con menores ventas?</t>
  </si>
  <si>
    <t>3. ¿Cuál fue el porcentaje de ventas por región?</t>
  </si>
  <si>
    <t>4. ¿Quién fue el vendedor con mayores ventas?</t>
  </si>
  <si>
    <t>5. ¿Qué vendedor realizó más ventas?</t>
  </si>
  <si>
    <t>6. ¿Cuál fue el producto con mayores ventas?</t>
  </si>
  <si>
    <t>7. ¿Cuál fue el porcentaje de ventas por producto?</t>
  </si>
  <si>
    <t>8. ¿Qué producto tuvo mayores ventas en cada una de las regiones?</t>
  </si>
  <si>
    <t>10. ¿Existe alguna correlación entre las ventas y alguna de las columnas?</t>
  </si>
  <si>
    <t>9. ¿En qué fechas se superó el promedio de las ventas?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</si>
</sst>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 #,##0.00_-;\-&quot;$&quot;\ * #,##0.00_-;_-&quot;$&quot;\ * &quot;-&quot;??_-;_-@_-"/>
    <numFmt numFmtId="164" formatCode="_-[$$-240A]\ * #,##0_-;\-[$$-240A]\ * #,##0_-;_-[$$-240A]\ * &quot;-&quot;??_-;_-@_-"/>
    <numFmt numFmtId="165" formatCode="_-[$€-2]\ * #,##0.00_-;\-[$€-2]\ * #,##0.00_-;_-[$€-2]\ * &quot;-&quot;??_-;_-@_-"/>
  </numFmts>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scheme val="minor"/>
    </font>
    <font>
      <sz val="14"/>
      <color theme="1"/>
      <name val="Calibri"/>
      <family val="2"/>
      <scheme val="minor"/>
    </font>
    <font>
      <b/>
      <sz val="14"/>
      <color theme="0"/>
      <name val="Franklin Gothic Heavy"/>
      <family val="2"/>
    </font>
    <font>
      <sz val="14"/>
      <color theme="3"/>
      <name val="Franklin Gothic Book"/>
      <family val="2"/>
    </font>
    <font>
      <b/>
      <sz val="16"/>
      <color theme="0"/>
      <name val="Franklin Gothic Heavy"/>
      <family val="2"/>
    </font>
    <font>
      <b/>
      <i/>
      <sz val="11"/>
      <color theme="1"/>
      <name val="Franklin Gothic Medium Cond"/>
      <family val="2"/>
    </font>
    <font>
      <b/>
      <i/>
      <sz val="11"/>
      <color theme="3"/>
      <name val="Franklin Gothic Medium Cond"/>
      <family val="2"/>
    </font>
    <font>
      <b/>
      <sz val="15"/>
      <color theme="1"/>
      <name val="Lucida Fax"/>
      <family val="1"/>
    </font>
    <font>
      <sz val="13"/>
      <color theme="1"/>
      <name val="Avenir Next LT Pro"/>
      <family val="2"/>
    </font>
  </fonts>
  <fills count="4">
    <fill>
      <patternFill patternType="none"/>
    </fill>
    <fill>
      <patternFill patternType="gray125"/>
    </fill>
    <fill>
      <patternFill patternType="solid">
        <fgColor rgb="FF002060"/>
        <bgColor indexed="64"/>
      </patternFill>
    </fill>
    <fill>
      <patternFill patternType="solid">
        <fgColor theme="0"/>
        <bgColor indexed="64"/>
      </patternFill>
    </fill>
  </fills>
  <borders count="1">
    <border>
      <left/>
      <right/>
      <top/>
      <bottom/>
      <diagonal/>
    </border>
  </borders>
  <cellStyleXfs count="3">
    <xf numFmtId="0" fontId="0" fillId="0" borderId="0"/>
    <xf numFmtId="44" fontId="4" fillId="0" borderId="0" applyFont="0" applyFill="0" applyBorder="0" applyAlignment="0" applyProtection="0"/>
    <xf numFmtId="9" fontId="4" fillId="0" borderId="0" applyFont="0" applyFill="0" applyBorder="0" applyAlignment="0" applyProtection="0"/>
  </cellStyleXfs>
  <cellXfs count="25">
    <xf numFmtId="0" fontId="0" fillId="0" borderId="0" xfId="0"/>
    <xf numFmtId="2" fontId="0" fillId="0" borderId="0" xfId="0" applyNumberFormat="1"/>
    <xf numFmtId="0" fontId="5" fillId="0" borderId="0" xfId="0" applyFont="1"/>
    <xf numFmtId="164" fontId="7" fillId="0" borderId="0" xfId="0" applyNumberFormat="1" applyFont="1" applyAlignment="1">
      <alignment horizontal="center" vertical="center"/>
    </xf>
    <xf numFmtId="165" fontId="7" fillId="0" borderId="0" xfId="0" applyNumberFormat="1" applyFont="1" applyAlignment="1">
      <alignment horizontal="center" vertical="center"/>
    </xf>
    <xf numFmtId="44" fontId="7" fillId="0" borderId="0" xfId="1" applyFont="1" applyAlignment="1">
      <alignment horizontal="center" vertical="center"/>
    </xf>
    <xf numFmtId="0" fontId="3" fillId="0" borderId="0" xfId="0" applyFont="1"/>
    <xf numFmtId="14" fontId="7" fillId="0" borderId="0" xfId="0" applyNumberFormat="1" applyFont="1" applyAlignment="1">
      <alignment horizontal="center" vertical="center"/>
    </xf>
    <xf numFmtId="49" fontId="7" fillId="0" borderId="0" xfId="0" applyNumberFormat="1" applyFont="1" applyAlignment="1">
      <alignment horizontal="center" vertical="center"/>
    </xf>
    <xf numFmtId="49" fontId="6" fillId="2" borderId="0" xfId="0" applyNumberFormat="1" applyFont="1" applyFill="1" applyAlignment="1">
      <alignment horizontal="center" vertical="center"/>
    </xf>
    <xf numFmtId="0" fontId="0" fillId="3" borderId="0" xfId="0" applyFill="1"/>
    <xf numFmtId="14" fontId="7" fillId="3" borderId="0" xfId="0" applyNumberFormat="1" applyFont="1" applyFill="1" applyAlignment="1">
      <alignment horizontal="center" vertical="center"/>
    </xf>
    <xf numFmtId="49" fontId="7" fillId="3" borderId="0" xfId="0" applyNumberFormat="1" applyFont="1" applyFill="1" applyAlignment="1">
      <alignment horizontal="center" vertical="center"/>
    </xf>
    <xf numFmtId="165" fontId="7" fillId="3" borderId="0" xfId="0" applyNumberFormat="1" applyFont="1" applyFill="1" applyAlignment="1">
      <alignment horizontal="center" vertical="center"/>
    </xf>
    <xf numFmtId="164" fontId="8" fillId="0" borderId="0" xfId="0" applyNumberFormat="1" applyFont="1" applyAlignment="1">
      <alignment horizontal="center" vertical="center"/>
    </xf>
    <xf numFmtId="49" fontId="10" fillId="0" borderId="0" xfId="1" applyNumberFormat="1" applyFont="1" applyAlignment="1">
      <alignment horizontal="center" vertical="center"/>
    </xf>
    <xf numFmtId="49" fontId="9" fillId="0" borderId="0" xfId="0" applyNumberFormat="1" applyFont="1" applyAlignment="1">
      <alignment horizontal="center" vertical="center"/>
    </xf>
    <xf numFmtId="0" fontId="7" fillId="3" borderId="0" xfId="0" applyFont="1" applyFill="1" applyAlignment="1">
      <alignment horizontal="center" vertical="center"/>
    </xf>
    <xf numFmtId="9" fontId="7" fillId="0" borderId="0" xfId="2" applyFont="1" applyAlignment="1">
      <alignment horizontal="right" vertical="center"/>
    </xf>
    <xf numFmtId="0" fontId="0" fillId="0" borderId="0" xfId="0" applyAlignment="1">
      <alignment horizontal="center"/>
    </xf>
    <xf numFmtId="49" fontId="0" fillId="0" borderId="0" xfId="0" applyNumberFormat="1"/>
    <xf numFmtId="49" fontId="2" fillId="0" borderId="0" xfId="0" applyNumberFormat="1" applyFont="1"/>
    <xf numFmtId="0" fontId="1" fillId="0" borderId="0" xfId="0" applyFont="1"/>
    <xf numFmtId="0" fontId="11" fillId="0" borderId="0" xfId="0" applyFont="1"/>
    <xf numFmtId="0" fontId="12" fillId="0" borderId="0" xfId="0" applyFont="1" applyAlignment="1">
      <alignment horizontal="left" vertical="center" wrapText="1"/>
    </xf>
  </cellXfs>
  <cellStyles count="3">
    <cellStyle name="Currency" xfId="1" builtinId="4"/>
    <cellStyle name="Normal" xfId="0" builtinId="0"/>
    <cellStyle name="Per cent" xfId="2" builtinId="5"/>
  </cellStyles>
  <dxfs count="19">
    <dxf>
      <font>
        <strike val="0"/>
        <outline val="0"/>
        <shadow val="0"/>
        <u val="none"/>
        <vertAlign val="baseline"/>
        <sz val="14"/>
        <color theme="3"/>
        <name val="Franklin Gothic Book"/>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4"/>
        <color theme="3"/>
        <name val="Franklin Gothic Book"/>
        <family val="2"/>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4"/>
        <color theme="3"/>
        <name val="Franklin Gothic Book"/>
        <family val="2"/>
        <scheme val="none"/>
      </font>
      <numFmt numFmtId="30" formatCode="@"/>
      <alignment horizontal="right" vertical="center" textRotation="0" wrapText="0" indent="0" justifyLastLine="0" shrinkToFit="0" readingOrder="0"/>
    </dxf>
    <dxf>
      <font>
        <b/>
        <i val="0"/>
        <strike val="0"/>
        <condense val="0"/>
        <extend val="0"/>
        <outline val="0"/>
        <shadow val="0"/>
        <u val="none"/>
        <vertAlign val="baseline"/>
        <sz val="16"/>
        <color theme="0"/>
        <name val="Franklin Gothic Heavy"/>
        <family val="2"/>
        <scheme val="none"/>
      </font>
      <numFmt numFmtId="164" formatCode="_-[$$-240A]\ * #,##0_-;\-[$$-240A]\ * #,##0_-;_-[$$-240A]\ * &quot;-&quot;??_-;_-@_-"/>
      <alignment horizontal="center" vertical="center" textRotation="0" wrapText="0" indent="0" justifyLastLine="0" shrinkToFit="0" readingOrder="0"/>
    </dxf>
    <dxf>
      <font>
        <b val="0"/>
        <strike val="0"/>
        <outline val="0"/>
        <shadow val="0"/>
        <u val="none"/>
        <vertAlign val="baseline"/>
        <sz val="14"/>
        <color theme="3"/>
        <name val="Franklin Gothic Book"/>
        <family val="2"/>
        <scheme val="none"/>
      </font>
      <numFmt numFmtId="164" formatCode="_-[$$-240A]\ * #,##0_-;\-[$$-240A]\ * #,##0_-;_-[$$-240A]\ * &quot;-&quot;??_-;_-@_-"/>
      <alignment horizontal="center" vertical="center" textRotation="0" wrapText="0" indent="0" justifyLastLine="0" shrinkToFit="0" readingOrder="0"/>
    </dxf>
    <dxf>
      <font>
        <b val="0"/>
        <i val="0"/>
        <strike val="0"/>
        <condense val="0"/>
        <extend val="0"/>
        <outline val="0"/>
        <shadow val="0"/>
        <u val="none"/>
        <vertAlign val="baseline"/>
        <sz val="14"/>
        <color theme="3"/>
        <name val="Franklin Gothic Book"/>
        <family val="2"/>
        <scheme val="none"/>
      </font>
      <numFmt numFmtId="165" formatCode="_-[$€-2]\ * #,##0.00_-;\-[$€-2]\ * #,##0.00_-;_-[$€-2]\ * &quot;-&quot;??_-;_-@_-"/>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4"/>
        <color theme="3"/>
        <name val="Franklin Gothic Book"/>
        <family val="2"/>
        <scheme val="none"/>
      </font>
      <numFmt numFmtId="165" formatCode="_-[$€-2]\ * #,##0.00_-;\-[$€-2]\ * #,##0.00_-;_-[$€-2]\ * &quot;-&quot;??_-;_-@_-"/>
      <alignment horizontal="center" vertical="center" textRotation="0" wrapText="0" indent="0" justifyLastLine="0" shrinkToFit="0" readingOrder="0"/>
    </dxf>
    <dxf>
      <font>
        <b val="0"/>
        <i val="0"/>
        <strike val="0"/>
        <condense val="0"/>
        <extend val="0"/>
        <outline val="0"/>
        <shadow val="0"/>
        <u val="none"/>
        <vertAlign val="baseline"/>
        <sz val="14"/>
        <color theme="3"/>
        <name val="Franklin Gothic Book"/>
        <family val="2"/>
        <scheme val="none"/>
      </font>
      <numFmt numFmtId="30" formatCode="@"/>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4"/>
        <color theme="3"/>
        <name val="Franklin Gothic Book"/>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4"/>
        <color theme="3"/>
        <name val="Franklin Gothic Book"/>
        <family val="2"/>
        <scheme val="none"/>
      </font>
      <numFmt numFmtId="30" formatCode="@"/>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4"/>
        <color theme="3"/>
        <name val="Franklin Gothic Book"/>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4"/>
        <color theme="3"/>
        <name val="Franklin Gothic Book"/>
        <family val="2"/>
        <scheme val="none"/>
      </font>
      <numFmt numFmtId="30" formatCode="@"/>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4"/>
        <color theme="3"/>
        <name val="Franklin Gothic Book"/>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4"/>
        <color theme="3"/>
        <name val="Franklin Gothic Book"/>
        <family val="2"/>
        <scheme val="none"/>
      </font>
      <numFmt numFmtId="19" formatCode="d/mm/yyyy"/>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4"/>
        <color theme="3"/>
        <name val="Franklin Gothic Book"/>
        <family val="2"/>
        <scheme val="none"/>
      </font>
      <numFmt numFmtId="19" formatCode="d/mm/yyyy"/>
      <alignment horizontal="center" vertical="center" textRotation="0" wrapText="0" indent="0" justifyLastLine="0" shrinkToFit="0" readingOrder="0"/>
    </dxf>
    <dxf>
      <font>
        <b val="0"/>
        <i val="0"/>
        <strike val="0"/>
        <condense val="0"/>
        <extend val="0"/>
        <outline val="0"/>
        <shadow val="0"/>
        <u val="none"/>
        <vertAlign val="baseline"/>
        <sz val="14"/>
        <color theme="3"/>
        <name val="Franklin Gothic Book"/>
        <family val="2"/>
        <scheme val="none"/>
      </font>
      <alignment horizontal="center" vertical="center" textRotation="0" wrapText="0" indent="0" justifyLastLine="0" shrinkToFit="0" readingOrder="0"/>
    </dxf>
    <dxf>
      <font>
        <b/>
        <i val="0"/>
        <strike val="0"/>
        <condense val="0"/>
        <extend val="0"/>
        <outline val="0"/>
        <shadow val="0"/>
        <u val="none"/>
        <vertAlign val="baseline"/>
        <sz val="14"/>
        <color theme="0"/>
        <name val="Franklin Gothic Heavy"/>
        <family val="2"/>
        <scheme val="none"/>
      </font>
      <numFmt numFmtId="30" formatCode="@"/>
      <fill>
        <patternFill patternType="solid">
          <fgColor indexed="64"/>
          <bgColor rgb="FF002060"/>
        </patternFill>
      </fill>
      <alignment horizontal="center" vertical="center" textRotation="0" wrapText="0" indent="0" justifyLastLine="0" shrinkToFit="0" readingOrder="0"/>
    </dxf>
    <dxf>
      <font>
        <strike val="0"/>
        <outline val="0"/>
        <shadow val="0"/>
        <u val="none"/>
        <vertAlign val="baseline"/>
        <sz val="14"/>
        <color theme="3"/>
        <name val="Franklin Gothic Book"/>
        <family val="2"/>
        <scheme val="none"/>
      </font>
      <alignment horizontal="center" vertical="center" textRotation="0" wrapText="0" indent="0" justifyLastLine="0" shrinkToFit="0" readingOrder="0"/>
    </dxf>
    <dxf>
      <font>
        <b/>
        <strike val="0"/>
        <outline val="0"/>
        <shadow val="0"/>
        <u val="none"/>
        <vertAlign val="baseline"/>
        <sz val="14"/>
        <color theme="0"/>
        <name val="Franklin Gothic Heavy"/>
        <family val="2"/>
        <scheme val="none"/>
      </font>
      <numFmt numFmtId="30" formatCode="@"/>
      <fill>
        <patternFill patternType="solid">
          <fgColor indexed="64"/>
          <bgColor rgb="FF002060"/>
        </patternFill>
      </fill>
      <alignment horizontal="center" vertical="center" textRotation="0" wrapText="0" indent="0" justifyLastLine="0" shrinkToFit="0" readingOrder="0"/>
    </dxf>
  </dxfs>
  <tableStyles count="0" defaultTableStyle="TableStyleMedium2" defaultPivotStyle="PivotStyleLight16"/>
  <colors>
    <mruColors>
      <color rgb="FF9ECB7F"/>
      <color rgb="FFFFD85B"/>
      <color rgb="FFFF818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microsoft.com/office/2007/relationships/slicerCache" Target="slicerCaches/slicerCache1.xml"/><Relationship Id="rId7" Type="http://customschemas.google.com/relationships/workbookmetadata" Target="metadata"/><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4.xml"/><Relationship Id="rId11" Type="http://schemas.openxmlformats.org/officeDocument/2006/relationships/sharedStrings" Target="sharedStrings.xml"/><Relationship Id="rId5" Type="http://schemas.microsoft.com/office/2007/relationships/slicerCache" Target="slicerCaches/slicerCache3.xml"/><Relationship Id="rId10" Type="http://schemas.openxmlformats.org/officeDocument/2006/relationships/styles" Target="styles.xml"/><Relationship Id="rId4" Type="http://schemas.microsoft.com/office/2007/relationships/slicerCache" Target="slicerCaches/slicerCache2.xml"/><Relationship Id="rId9" Type="http://schemas.openxmlformats.org/officeDocument/2006/relationships/connections" Target="connection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2</xdr:col>
      <xdr:colOff>933450</xdr:colOff>
      <xdr:row>24</xdr:row>
      <xdr:rowOff>85236</xdr:rowOff>
    </xdr:from>
    <xdr:to>
      <xdr:col>4</xdr:col>
      <xdr:colOff>433050</xdr:colOff>
      <xdr:row>28</xdr:row>
      <xdr:rowOff>84561</xdr:rowOff>
    </xdr:to>
    <mc:AlternateContent xmlns:mc="http://schemas.openxmlformats.org/markup-compatibility/2006" xmlns:sle15="http://schemas.microsoft.com/office/drawing/2012/slicer">
      <mc:Choice Requires="sle15">
        <xdr:graphicFrame macro="">
          <xdr:nvGraphicFramePr>
            <xdr:cNvPr id="18" name="Region">
              <a:extLst>
                <a:ext uri="{FF2B5EF4-FFF2-40B4-BE49-F238E27FC236}">
                  <a16:creationId xmlns:a16="http://schemas.microsoft.com/office/drawing/2014/main" id="{4BD995FE-DC0A-B957-6EF4-A836F141A1A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714625" y="5800236"/>
              <a:ext cx="2928600" cy="82800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6</xdr:col>
      <xdr:colOff>866775</xdr:colOff>
      <xdr:row>24</xdr:row>
      <xdr:rowOff>85236</xdr:rowOff>
    </xdr:from>
    <xdr:to>
      <xdr:col>8</xdr:col>
      <xdr:colOff>4425</xdr:colOff>
      <xdr:row>28</xdr:row>
      <xdr:rowOff>84561</xdr:rowOff>
    </xdr:to>
    <mc:AlternateContent xmlns:mc="http://schemas.openxmlformats.org/markup-compatibility/2006" xmlns:sle15="http://schemas.microsoft.com/office/drawing/2012/slicer">
      <mc:Choice Requires="sle15">
        <xdr:graphicFrame macro="">
          <xdr:nvGraphicFramePr>
            <xdr:cNvPr id="19" name="Producto">
              <a:extLst>
                <a:ext uri="{FF2B5EF4-FFF2-40B4-BE49-F238E27FC236}">
                  <a16:creationId xmlns:a16="http://schemas.microsoft.com/office/drawing/2014/main" id="{71D310F8-92F5-E429-6EB2-15E6F9DBB897}"/>
                </a:ext>
              </a:extLst>
            </xdr:cNvPr>
            <xdr:cNvGraphicFramePr/>
          </xdr:nvGraphicFramePr>
          <xdr:xfrm>
            <a:off x="0" y="0"/>
            <a:ext cx="0" cy="0"/>
          </xdr:xfrm>
          <a:graphic>
            <a:graphicData uri="http://schemas.microsoft.com/office/drawing/2010/slicer">
              <sle:slicer xmlns:sle="http://schemas.microsoft.com/office/drawing/2010/slicer" name="Producto"/>
            </a:graphicData>
          </a:graphic>
        </xdr:graphicFrame>
      </mc:Choice>
      <mc:Fallback xmlns="">
        <xdr:sp macro="" textlink="">
          <xdr:nvSpPr>
            <xdr:cNvPr id="0" name=""/>
            <xdr:cNvSpPr>
              <a:spLocks noTextEdit="1"/>
            </xdr:cNvSpPr>
          </xdr:nvSpPr>
          <xdr:spPr>
            <a:xfrm>
              <a:off x="9505950" y="5800236"/>
              <a:ext cx="2928600" cy="82800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4</xdr:col>
      <xdr:colOff>900113</xdr:colOff>
      <xdr:row>23</xdr:row>
      <xdr:rowOff>95736</xdr:rowOff>
    </xdr:from>
    <xdr:to>
      <xdr:col>6</xdr:col>
      <xdr:colOff>399713</xdr:colOff>
      <xdr:row>29</xdr:row>
      <xdr:rowOff>74061</xdr:rowOff>
    </xdr:to>
    <mc:AlternateContent xmlns:mc="http://schemas.openxmlformats.org/markup-compatibility/2006" xmlns:sle15="http://schemas.microsoft.com/office/drawing/2012/slicer">
      <mc:Choice Requires="sle15">
        <xdr:graphicFrame macro="">
          <xdr:nvGraphicFramePr>
            <xdr:cNvPr id="20" name="Vendedor">
              <a:extLst>
                <a:ext uri="{FF2B5EF4-FFF2-40B4-BE49-F238E27FC236}">
                  <a16:creationId xmlns:a16="http://schemas.microsoft.com/office/drawing/2014/main" id="{8199C5A6-02D6-615F-DDC8-3BABF4444A53}"/>
                </a:ext>
              </a:extLst>
            </xdr:cNvPr>
            <xdr:cNvGraphicFramePr/>
          </xdr:nvGraphicFramePr>
          <xdr:xfrm>
            <a:off x="0" y="0"/>
            <a:ext cx="0" cy="0"/>
          </xdr:xfrm>
          <a:graphic>
            <a:graphicData uri="http://schemas.microsoft.com/office/drawing/2010/slicer">
              <sle:slicer xmlns:sle="http://schemas.microsoft.com/office/drawing/2010/slicer" name="Vendedor"/>
            </a:graphicData>
          </a:graphic>
        </xdr:graphicFrame>
      </mc:Choice>
      <mc:Fallback xmlns="">
        <xdr:sp macro="" textlink="">
          <xdr:nvSpPr>
            <xdr:cNvPr id="0" name=""/>
            <xdr:cNvSpPr>
              <a:spLocks noTextEdit="1"/>
            </xdr:cNvSpPr>
          </xdr:nvSpPr>
          <xdr:spPr>
            <a:xfrm>
              <a:off x="6110288" y="5620236"/>
              <a:ext cx="2928600" cy="118800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9</xdr:col>
      <xdr:colOff>990601</xdr:colOff>
      <xdr:row>26</xdr:row>
      <xdr:rowOff>123825</xdr:rowOff>
    </xdr:from>
    <xdr:to>
      <xdr:col>13</xdr:col>
      <xdr:colOff>451488</xdr:colOff>
      <xdr:row>31</xdr:row>
      <xdr:rowOff>103043</xdr:rowOff>
    </xdr:to>
    <xdr:pic macro="[0]!CambiarHoja1">
      <xdr:nvPicPr>
        <xdr:cNvPr id="2" name="Picture 1" descr="Mover a hoja siguiente">
          <a:extLst>
            <a:ext uri="{FF2B5EF4-FFF2-40B4-BE49-F238E27FC236}">
              <a16:creationId xmlns:a16="http://schemas.microsoft.com/office/drawing/2014/main" id="{83E45663-EB2D-B168-03B2-63FCF4421A9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382751" y="6229350"/>
          <a:ext cx="3394712" cy="9888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8</xdr:col>
      <xdr:colOff>514349</xdr:colOff>
      <xdr:row>2</xdr:row>
      <xdr:rowOff>28575</xdr:rowOff>
    </xdr:from>
    <xdr:to>
      <xdr:col>11</xdr:col>
      <xdr:colOff>422549</xdr:colOff>
      <xdr:row>19</xdr:row>
      <xdr:rowOff>138525</xdr:rowOff>
    </xdr:to>
    <mc:AlternateContent xmlns:mc="http://schemas.openxmlformats.org/markup-compatibility/2006" xmlns:sle15="http://schemas.microsoft.com/office/drawing/2012/slicer">
      <mc:Choice Requires="sle15">
        <xdr:graphicFrame macro="">
          <xdr:nvGraphicFramePr>
            <xdr:cNvPr id="3" name="Fecha">
              <a:extLst>
                <a:ext uri="{FF2B5EF4-FFF2-40B4-BE49-F238E27FC236}">
                  <a16:creationId xmlns:a16="http://schemas.microsoft.com/office/drawing/2014/main" id="{C2B55B76-9FBC-F19B-A70E-EC03183EF370}"/>
                </a:ext>
              </a:extLst>
            </xdr:cNvPr>
            <xdr:cNvGraphicFramePr/>
          </xdr:nvGraphicFramePr>
          <xdr:xfrm>
            <a:off x="0" y="0"/>
            <a:ext cx="0" cy="0"/>
          </xdr:xfrm>
          <a:graphic>
            <a:graphicData uri="http://schemas.microsoft.com/office/drawing/2010/slicer">
              <sle:slicer xmlns:sle="http://schemas.microsoft.com/office/drawing/2010/slicer" name="Fecha"/>
            </a:graphicData>
          </a:graphic>
        </xdr:graphicFrame>
      </mc:Choice>
      <mc:Fallback xmlns="">
        <xdr:sp macro="" textlink="">
          <xdr:nvSpPr>
            <xdr:cNvPr id="0" name=""/>
            <xdr:cNvSpPr>
              <a:spLocks noTextEdit="1"/>
            </xdr:cNvSpPr>
          </xdr:nvSpPr>
          <xdr:spPr>
            <a:xfrm>
              <a:off x="12944474" y="523875"/>
              <a:ext cx="2880000" cy="432000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19050</xdr:colOff>
      <xdr:row>30</xdr:row>
      <xdr:rowOff>0</xdr:rowOff>
    </xdr:from>
    <xdr:to>
      <xdr:col>3</xdr:col>
      <xdr:colOff>447674</xdr:colOff>
      <xdr:row>35</xdr:row>
      <xdr:rowOff>124669</xdr:rowOff>
    </xdr:to>
    <xdr:pic macro="[0]!CambiarHoja2">
      <xdr:nvPicPr>
        <xdr:cNvPr id="3" name="Picture 2" descr="Mover a hoja anterior">
          <a:extLst>
            <a:ext uri="{FF2B5EF4-FFF2-40B4-BE49-F238E27FC236}">
              <a16:creationId xmlns:a16="http://schemas.microsoft.com/office/drawing/2014/main" id="{C5C02B00-82C4-4E46-9973-94C9C1F24650}"/>
            </a:ext>
          </a:extLst>
        </xdr:cNvPr>
        <xdr:cNvPicPr>
          <a:picLocks noChangeAspect="1"/>
        </xdr:cNvPicPr>
      </xdr:nvPicPr>
      <xdr:blipFill>
        <a:blip xmlns:r="http://schemas.openxmlformats.org/officeDocument/2006/relationships" r:embed="rId1"/>
        <a:stretch>
          <a:fillRect/>
        </a:stretch>
      </xdr:blipFill>
      <xdr:spPr>
        <a:xfrm>
          <a:off x="19050" y="6172200"/>
          <a:ext cx="3219449" cy="1077169"/>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1" xr16:uid="{61BA1C4E-C88C-4611-A4D9-1C0B96E778E6}" autoFormatId="16" applyNumberFormats="0" applyBorderFormats="0" applyFontFormats="0" applyPatternFormats="0" applyAlignmentFormats="0" applyWidthHeightFormats="0">
  <queryTableRefresh nextId="2">
    <queryTableFields count="1">
      <queryTableField id="1" name="EXCHANGE" tableColumnId="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582144F-11DE-4B5A-BBBE-2D625B75E740}" sourceName="Region">
  <extLst>
    <x:ext xmlns:x15="http://schemas.microsoft.com/office/spreadsheetml/2010/11/main" uri="{2F2917AC-EB37-4324-AD4E-5DD8C200BD13}">
      <x15:tableSlicerCache tableId="4"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o" xr10:uid="{118E5B47-37D4-455F-A1AB-B2F8BDDC8470}" sourceName="Producto">
  <extLst>
    <x:ext xmlns:x15="http://schemas.microsoft.com/office/spreadsheetml/2010/11/main" uri="{2F2917AC-EB37-4324-AD4E-5DD8C200BD13}">
      <x15:tableSlicerCache tableId="4"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edor" xr10:uid="{F78E527C-CB97-4E9B-B99A-EDC28D45148A}" sourceName="Vendedor">
  <extLst>
    <x:ext xmlns:x15="http://schemas.microsoft.com/office/spreadsheetml/2010/11/main" uri="{2F2917AC-EB37-4324-AD4E-5DD8C200BD13}">
      <x15:tableSlicerCache tableId="4" column="4"/>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cha" xr10:uid="{806761E6-0861-4EC1-9307-6E4ED5AD5FC0}" sourceName="Fecha">
  <extLst>
    <x:ext xmlns:x15="http://schemas.microsoft.com/office/spreadsheetml/2010/11/main" uri="{2F2917AC-EB37-4324-AD4E-5DD8C200BD13}">
      <x15:tableSlicerCache tableId="4"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233E94D-A6EE-47E3-B3D4-BA596A8AC354}" cache="Slicer_Region" caption="Region" columnCount="3" style="SlicerStyleDark5" rowHeight="360000"/>
  <slicer name="Producto" xr10:uid="{401CFB30-DB61-4575-9CD0-885C674C0619}" cache="Slicer_Producto" caption="Producto" columnCount="3" style="SlicerStyleDark5" rowHeight="360000"/>
  <slicer name="Vendedor" xr10:uid="{DF56AC9E-6FB3-4696-99F8-79502FF34664}" cache="Slicer_Vendedor" caption="Vendedor" columnCount="3" style="SlicerStyleDark5" rowHeight="360000"/>
  <slicer name="Fecha" xr10:uid="{5CF5653C-1A39-45A8-913B-22C71CFC90EE}" cache="Slicer_Fecha" caption="Fecha" columnCount="2" style="SlicerStyleDark5" rowHeight="396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CEB0E06-CDC2-463F-8C64-7C7A038EFEB4}" name="Currency" displayName="Currency" ref="B26:B27" tableType="queryTable" totalsRowShown="0" headerRowDxfId="18" dataDxfId="17" dataCellStyle="Currency">
  <autoFilter ref="B26:B27" xr:uid="{ACEB0E06-CDC2-463F-8C64-7C7A038EFEB4}"/>
  <tableColumns count="1">
    <tableColumn id="1" xr3:uid="{AA609505-FF57-4C70-80BF-A71D9B7E0894}" uniqueName="1" name="EXCHANGE" queryTableFieldId="1" dataDxfId="0" dataCellStyle="Currency"/>
  </tableColumns>
  <tableStyleInfo name="TableStyleMedium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5504D11-BC80-4DDB-816F-92467EB9D4CC}" name="TablaVentas" displayName="TablaVentas" ref="B2:H21" totalsRowCount="1" headerRowDxfId="16" dataDxfId="15">
  <autoFilter ref="B2:H20" xr:uid="{D5504D11-BC80-4DDB-816F-92467EB9D4CC}">
    <filterColumn colId="0" hiddenButton="1"/>
    <filterColumn colId="1" hiddenButton="1"/>
    <filterColumn colId="2" hiddenButton="1"/>
    <filterColumn colId="3" hiddenButton="1"/>
    <filterColumn colId="4" hiddenButton="1"/>
    <filterColumn colId="5" hiddenButton="1"/>
    <filterColumn colId="6" hiddenButton="1"/>
  </autoFilter>
  <sortState xmlns:xlrd2="http://schemas.microsoft.com/office/spreadsheetml/2017/richdata2" ref="B3:G20">
    <sortCondition descending="1" ref="G2:G20"/>
  </sortState>
  <tableColumns count="7">
    <tableColumn id="1" xr3:uid="{24300B1F-14D3-43FA-9AB2-D2E03F957941}" name="Fecha" dataDxfId="14" totalsRowDxfId="13"/>
    <tableColumn id="2" xr3:uid="{1461B316-71C1-4419-ADA5-00CC6BA6A645}" name="Region" dataDxfId="12" totalsRowDxfId="11"/>
    <tableColumn id="3" xr3:uid="{A59C7CCD-0156-4863-8C30-0008BA98F4A9}" name="Producto" dataDxfId="10" totalsRowDxfId="9"/>
    <tableColumn id="4" xr3:uid="{AB179164-B187-4C59-B266-ADB5F30EAC9C}" name="Vendedor" dataDxfId="8" totalsRowDxfId="7"/>
    <tableColumn id="5" xr3:uid="{7A4284F7-6F2A-4EBB-8665-896374FDCC53}" name="Ventas Euros" dataDxfId="6" totalsRowDxfId="5"/>
    <tableColumn id="6" xr3:uid="{315E45B4-FD7A-45DE-B554-FA558A0EF558}" name="Ventas COP" totalsRowFunction="sum" dataDxfId="4" totalsRowDxfId="3">
      <calculatedColumnFormula>Currency[EXCHANGE]*TablaVentas[[#This Row],[Ventas Euros]]</calculatedColumnFormula>
    </tableColumn>
    <tableColumn id="7" xr3:uid="{DD501E1A-5D40-4B54-8B17-66EFD1DBE7DD}" name="VISUALIZACIÓN" dataDxfId="2" totalsRowDxfId="1">
      <calculatedColumnFormula>TablaVentas[[#This Row],[Ventas COP]]/TablaVentas[[#Totals],[Ventas COP]]</calculatedColumnFormula>
    </tableColumn>
  </tableColumns>
  <tableStyleInfo name="TableStyleMedium13"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outlinePr summaryBelow="0" summaryRight="0"/>
  </sheetPr>
  <dimension ref="B1:J28"/>
  <sheetViews>
    <sheetView showGridLines="0" tabSelected="1" zoomScaleNormal="100" workbookViewId="0"/>
  </sheetViews>
  <sheetFormatPr defaultColWidth="14.42578125" defaultRowHeight="15" customHeight="1" x14ac:dyDescent="0.25"/>
  <cols>
    <col min="1" max="1" width="5.7109375" customWidth="1"/>
    <col min="2" max="2" width="21" bestFit="1" customWidth="1"/>
    <col min="3" max="6" width="25.7109375" customWidth="1"/>
    <col min="7" max="7" width="30.7109375" customWidth="1"/>
    <col min="8" max="8" width="26.140625" customWidth="1"/>
    <col min="10" max="10" width="15.7109375" bestFit="1" customWidth="1"/>
  </cols>
  <sheetData>
    <row r="1" spans="2:8" ht="20.100000000000001" customHeight="1" x14ac:dyDescent="0.25"/>
    <row r="2" spans="2:8" ht="19.5" x14ac:dyDescent="0.25">
      <c r="B2" s="9" t="s">
        <v>0</v>
      </c>
      <c r="C2" s="9" t="s">
        <v>1</v>
      </c>
      <c r="D2" s="9" t="s">
        <v>2</v>
      </c>
      <c r="E2" s="9" t="s">
        <v>3</v>
      </c>
      <c r="F2" s="9" t="s">
        <v>17</v>
      </c>
      <c r="G2" s="9" t="s">
        <v>18</v>
      </c>
      <c r="H2" s="9" t="s">
        <v>20</v>
      </c>
    </row>
    <row r="3" spans="2:8" ht="19.5" x14ac:dyDescent="0.25">
      <c r="B3" s="7">
        <v>45338</v>
      </c>
      <c r="C3" s="8" t="s">
        <v>13</v>
      </c>
      <c r="D3" s="8" t="s">
        <v>9</v>
      </c>
      <c r="E3" s="8" t="s">
        <v>14</v>
      </c>
      <c r="F3" s="4">
        <v>32855</v>
      </c>
      <c r="G3" s="3">
        <f>Currency[EXCHANGE]*TablaVentas[[#This Row],[Ventas Euros]]</f>
        <v>152642030.15000001</v>
      </c>
      <c r="H3" s="18">
        <f>TablaVentas[[#This Row],[Ventas COP]]/TablaVentas[[#Totals],[Ventas COP]]</f>
        <v>0.13716272914379229</v>
      </c>
    </row>
    <row r="4" spans="2:8" ht="19.5" x14ac:dyDescent="0.25">
      <c r="B4" s="7">
        <v>45327</v>
      </c>
      <c r="C4" s="8" t="s">
        <v>4</v>
      </c>
      <c r="D4" s="8" t="s">
        <v>9</v>
      </c>
      <c r="E4" s="8" t="s">
        <v>7</v>
      </c>
      <c r="F4" s="4">
        <v>30633</v>
      </c>
      <c r="G4" s="3">
        <f>Currency[EXCHANGE]*TablaVentas[[#This Row],[Ventas Euros]]</f>
        <v>142318773.69</v>
      </c>
      <c r="H4" s="18">
        <f>TablaVentas[[#This Row],[Ventas COP]]/TablaVentas[[#Totals],[Ventas COP]]</f>
        <v>0.12788634551397929</v>
      </c>
    </row>
    <row r="5" spans="2:8" ht="19.5" x14ac:dyDescent="0.25">
      <c r="B5" s="7">
        <v>45339</v>
      </c>
      <c r="C5" s="8" t="s">
        <v>13</v>
      </c>
      <c r="D5" s="8" t="s">
        <v>9</v>
      </c>
      <c r="E5" s="8" t="s">
        <v>15</v>
      </c>
      <c r="F5" s="4">
        <v>23151</v>
      </c>
      <c r="G5" s="3">
        <f>Currency[EXCHANGE]*TablaVentas[[#This Row],[Ventas Euros]]</f>
        <v>107557925.43000001</v>
      </c>
      <c r="H5" s="18">
        <f>TablaVentas[[#This Row],[Ventas COP]]/TablaVentas[[#Totals],[Ventas COP]]</f>
        <v>9.6650565892799745E-2</v>
      </c>
    </row>
    <row r="6" spans="2:8" ht="19.5" x14ac:dyDescent="0.25">
      <c r="B6" s="7">
        <v>45326</v>
      </c>
      <c r="C6" s="8" t="s">
        <v>4</v>
      </c>
      <c r="D6" s="8" t="s">
        <v>9</v>
      </c>
      <c r="E6" s="8" t="s">
        <v>6</v>
      </c>
      <c r="F6" s="4">
        <v>20098</v>
      </c>
      <c r="G6" s="3">
        <f>Currency[EXCHANGE]*TablaVentas[[#This Row],[Ventas Euros]]</f>
        <v>93373901.140000001</v>
      </c>
      <c r="H6" s="18">
        <f>TablaVentas[[#This Row],[Ventas COP]]/TablaVentas[[#Totals],[Ventas COP]]</f>
        <v>8.3904931679559813E-2</v>
      </c>
    </row>
    <row r="7" spans="2:8" ht="19.5" x14ac:dyDescent="0.25">
      <c r="B7" s="7">
        <v>45332</v>
      </c>
      <c r="C7" s="8" t="s">
        <v>10</v>
      </c>
      <c r="D7" s="8" t="s">
        <v>9</v>
      </c>
      <c r="E7" s="8" t="s">
        <v>11</v>
      </c>
      <c r="F7" s="4">
        <v>13531</v>
      </c>
      <c r="G7" s="3">
        <f>Currency[EXCHANGE]*TablaVentas[[#This Row],[Ventas Euros]]</f>
        <v>62864078.830000006</v>
      </c>
      <c r="H7" s="18">
        <f>TablaVentas[[#This Row],[Ventas COP]]/TablaVentas[[#Totals],[Ventas COP]]</f>
        <v>5.6489085011251064E-2</v>
      </c>
    </row>
    <row r="8" spans="2:8" ht="19.5" x14ac:dyDescent="0.25">
      <c r="B8" s="7">
        <v>45333</v>
      </c>
      <c r="C8" s="8" t="s">
        <v>10</v>
      </c>
      <c r="D8" s="8" t="s">
        <v>9</v>
      </c>
      <c r="E8" s="8" t="s">
        <v>12</v>
      </c>
      <c r="F8" s="4">
        <v>13374</v>
      </c>
      <c r="G8" s="3">
        <f>Currency[EXCHANGE]*TablaVentas[[#This Row],[Ventas Euros]]</f>
        <v>62134667.82</v>
      </c>
      <c r="H8" s="18">
        <f>TablaVentas[[#This Row],[Ventas COP]]/TablaVentas[[#Totals],[Ventas COP]]</f>
        <v>5.5833642963600001E-2</v>
      </c>
    </row>
    <row r="9" spans="2:8" ht="19.5" x14ac:dyDescent="0.25">
      <c r="B9" s="7">
        <v>45325</v>
      </c>
      <c r="C9" s="8" t="s">
        <v>4</v>
      </c>
      <c r="D9" s="8" t="s">
        <v>8</v>
      </c>
      <c r="E9" s="8" t="s">
        <v>7</v>
      </c>
      <c r="F9" s="4">
        <v>12948</v>
      </c>
      <c r="G9" s="3">
        <f>Currency[EXCHANGE]*TablaVentas[[#This Row],[Ventas Euros]]</f>
        <v>60155501.640000001</v>
      </c>
      <c r="H9" s="18">
        <f>TablaVentas[[#This Row],[Ventas COP]]/TablaVentas[[#Totals],[Ventas COP]]</f>
        <v>5.4055182375706057E-2</v>
      </c>
    </row>
    <row r="10" spans="2:8" ht="19.5" x14ac:dyDescent="0.25">
      <c r="B10" s="7">
        <v>45324</v>
      </c>
      <c r="C10" s="8" t="s">
        <v>4</v>
      </c>
      <c r="D10" s="8" t="s">
        <v>8</v>
      </c>
      <c r="E10" s="8" t="s">
        <v>6</v>
      </c>
      <c r="F10" s="4">
        <v>11420</v>
      </c>
      <c r="G10" s="3">
        <f>Currency[EXCHANGE]*TablaVentas[[#This Row],[Ventas Euros]]</f>
        <v>53056520.600000001</v>
      </c>
      <c r="H10" s="18">
        <f>TablaVentas[[#This Row],[Ventas COP]]/TablaVentas[[#Totals],[Ventas COP]]</f>
        <v>4.7676103083917454E-2</v>
      </c>
    </row>
    <row r="11" spans="2:8" ht="19.5" x14ac:dyDescent="0.25">
      <c r="B11" s="7">
        <v>45336</v>
      </c>
      <c r="C11" s="8" t="s">
        <v>13</v>
      </c>
      <c r="D11" s="8" t="s">
        <v>8</v>
      </c>
      <c r="E11" s="8" t="s">
        <v>14</v>
      </c>
      <c r="F11" s="4">
        <v>10711</v>
      </c>
      <c r="G11" s="3">
        <f>Currency[EXCHANGE]*TablaVentas[[#This Row],[Ventas Euros]]</f>
        <v>49762556.230000004</v>
      </c>
      <c r="H11" s="18">
        <f>TablaVentas[[#This Row],[Ventas COP]]/TablaVentas[[#Totals],[Ventas COP]]</f>
        <v>4.4716176894206643E-2</v>
      </c>
    </row>
    <row r="12" spans="2:8" ht="19.5" x14ac:dyDescent="0.25">
      <c r="B12" s="7">
        <v>45330</v>
      </c>
      <c r="C12" s="8" t="s">
        <v>10</v>
      </c>
      <c r="D12" s="8" t="s">
        <v>8</v>
      </c>
      <c r="E12" s="8" t="s">
        <v>11</v>
      </c>
      <c r="F12" s="4">
        <v>10348</v>
      </c>
      <c r="G12" s="3">
        <f>Currency[EXCHANGE]*TablaVentas[[#This Row],[Ventas Euros]]</f>
        <v>48076083.640000001</v>
      </c>
      <c r="H12" s="18">
        <f>TablaVentas[[#This Row],[Ventas COP]]/TablaVentas[[#Totals],[Ventas COP]]</f>
        <v>4.3200728083395604E-2</v>
      </c>
    </row>
    <row r="13" spans="2:8" ht="19.5" x14ac:dyDescent="0.25">
      <c r="B13" s="7">
        <v>45328</v>
      </c>
      <c r="C13" s="8" t="s">
        <v>10</v>
      </c>
      <c r="D13" s="8" t="s">
        <v>5</v>
      </c>
      <c r="E13" s="8" t="s">
        <v>11</v>
      </c>
      <c r="F13" s="4">
        <v>9323</v>
      </c>
      <c r="G13" s="3">
        <f>Currency[EXCHANGE]*TablaVentas[[#This Row],[Ventas Euros]]</f>
        <v>43314005.390000001</v>
      </c>
      <c r="H13" s="18">
        <f>TablaVentas[[#This Row],[Ventas COP]]/TablaVentas[[#Totals],[Ventas COP]]</f>
        <v>3.8921568218157829E-2</v>
      </c>
    </row>
    <row r="14" spans="2:8" ht="19.5" x14ac:dyDescent="0.25">
      <c r="B14" s="7">
        <v>45331</v>
      </c>
      <c r="C14" s="8" t="s">
        <v>10</v>
      </c>
      <c r="D14" s="8" t="s">
        <v>8</v>
      </c>
      <c r="E14" s="8" t="s">
        <v>12</v>
      </c>
      <c r="F14" s="4">
        <v>9312</v>
      </c>
      <c r="G14" s="3">
        <f>Currency[EXCHANGE]*TablaVentas[[#This Row],[Ventas Euros]]</f>
        <v>43262900.160000004</v>
      </c>
      <c r="H14" s="18">
        <f>TablaVentas[[#This Row],[Ventas COP]]/TablaVentas[[#Totals],[Ventas COP]]</f>
        <v>3.8875645526921132E-2</v>
      </c>
    </row>
    <row r="15" spans="2:8" ht="19.5" x14ac:dyDescent="0.25">
      <c r="B15" s="7">
        <v>45337</v>
      </c>
      <c r="C15" s="8" t="s">
        <v>13</v>
      </c>
      <c r="D15" s="8" t="s">
        <v>8</v>
      </c>
      <c r="E15" s="8" t="s">
        <v>15</v>
      </c>
      <c r="F15" s="4">
        <v>8780</v>
      </c>
      <c r="G15" s="3">
        <f>Currency[EXCHANGE]*TablaVentas[[#This Row],[Ventas Euros]]</f>
        <v>40791265.400000006</v>
      </c>
      <c r="H15" s="18">
        <f>TablaVentas[[#This Row],[Ventas COP]]/TablaVentas[[#Totals],[Ventas COP]]</f>
        <v>3.6654657187109925E-2</v>
      </c>
    </row>
    <row r="16" spans="2:8" ht="19.5" x14ac:dyDescent="0.25">
      <c r="B16" s="7">
        <v>45322</v>
      </c>
      <c r="C16" s="8" t="s">
        <v>4</v>
      </c>
      <c r="D16" s="8" t="s">
        <v>5</v>
      </c>
      <c r="E16" s="8" t="s">
        <v>6</v>
      </c>
      <c r="F16" s="4">
        <v>8287</v>
      </c>
      <c r="G16" s="3">
        <f>Currency[EXCHANGE]*TablaVentas[[#This Row],[Ventas Euros]]</f>
        <v>38500821.910000004</v>
      </c>
      <c r="H16" s="18">
        <f>TablaVentas[[#This Row],[Ventas COP]]/TablaVentas[[#Totals],[Ventas COP]]</f>
        <v>3.4596485661683357E-2</v>
      </c>
    </row>
    <row r="17" spans="2:10" ht="19.5" x14ac:dyDescent="0.25">
      <c r="B17" s="7">
        <v>45329</v>
      </c>
      <c r="C17" s="8" t="s">
        <v>10</v>
      </c>
      <c r="D17" s="8" t="s">
        <v>5</v>
      </c>
      <c r="E17" s="8" t="s">
        <v>12</v>
      </c>
      <c r="F17" s="4">
        <v>7667</v>
      </c>
      <c r="G17" s="3">
        <f>Currency[EXCHANGE]*TablaVentas[[#This Row],[Ventas Euros]]</f>
        <v>35620345.310000002</v>
      </c>
      <c r="H17" s="18">
        <f>TablaVentas[[#This Row],[Ventas COP]]/TablaVentas[[#Totals],[Ventas COP]]</f>
        <v>3.2008115791978556E-2</v>
      </c>
      <c r="J17" s="1"/>
    </row>
    <row r="18" spans="2:10" ht="19.5" x14ac:dyDescent="0.25">
      <c r="B18" s="7">
        <v>45323</v>
      </c>
      <c r="C18" s="8" t="s">
        <v>4</v>
      </c>
      <c r="D18" s="8" t="s">
        <v>5</v>
      </c>
      <c r="E18" s="8" t="s">
        <v>7</v>
      </c>
      <c r="F18" s="4">
        <v>6909</v>
      </c>
      <c r="G18" s="3">
        <f>Currency[EXCHANGE]*TablaVentas[[#This Row],[Ventas Euros]]</f>
        <v>32098730.370000001</v>
      </c>
      <c r="H18" s="18">
        <f>TablaVentas[[#This Row],[Ventas COP]]/TablaVentas[[#Totals],[Ventas COP]]</f>
        <v>2.8843624886758817E-2</v>
      </c>
    </row>
    <row r="19" spans="2:10" ht="19.5" x14ac:dyDescent="0.25">
      <c r="B19" s="7">
        <v>45335</v>
      </c>
      <c r="C19" s="8" t="s">
        <v>13</v>
      </c>
      <c r="D19" s="8" t="s">
        <v>5</v>
      </c>
      <c r="E19" s="8" t="s">
        <v>15</v>
      </c>
      <c r="F19" s="4">
        <v>5442</v>
      </c>
      <c r="G19" s="3">
        <f>Currency[EXCHANGE]*TablaVentas[[#This Row],[Ventas Euros]]</f>
        <v>25283151.060000002</v>
      </c>
      <c r="H19" s="18">
        <f>TablaVentas[[#This Row],[Ventas COP]]/TablaVentas[[#Totals],[Ventas COP]]</f>
        <v>2.2719207791828268E-2</v>
      </c>
    </row>
    <row r="20" spans="2:10" ht="19.5" x14ac:dyDescent="0.25">
      <c r="B20" s="7">
        <v>45334</v>
      </c>
      <c r="C20" s="8" t="s">
        <v>13</v>
      </c>
      <c r="D20" s="8" t="s">
        <v>5</v>
      </c>
      <c r="E20" s="8" t="s">
        <v>14</v>
      </c>
      <c r="F20" s="4">
        <v>4744</v>
      </c>
      <c r="G20" s="3">
        <f>Currency[EXCHANGE]*TablaVentas[[#This Row],[Ventas Euros]]</f>
        <v>22040291.920000002</v>
      </c>
      <c r="H20" s="18">
        <f>TablaVentas[[#This Row],[Ventas COP]]/TablaVentas[[#Totals],[Ventas COP]]</f>
        <v>1.9805204293354153E-2</v>
      </c>
      <c r="I20" s="10"/>
    </row>
    <row r="21" spans="2:10" ht="15" customHeight="1" x14ac:dyDescent="0.25">
      <c r="B21" s="11"/>
      <c r="C21" s="12"/>
      <c r="D21" s="12"/>
      <c r="E21" s="12"/>
      <c r="F21" s="13"/>
      <c r="G21" s="14">
        <f>SUBTOTAL(109,TablaVentas[Ventas COP])</f>
        <v>1112853550.6900001</v>
      </c>
      <c r="H21" s="17"/>
    </row>
    <row r="22" spans="2:10" ht="15" customHeight="1" x14ac:dyDescent="0.25">
      <c r="G22" s="16" t="str">
        <f>_xlfn.CONCAT("Sumatoria ", IF(18=SUBTOTAL(2, TablaVentas[Ventas COP]), "total", "subtotal"), " de las ventas")</f>
        <v>Sumatoria total de las ventas</v>
      </c>
    </row>
    <row r="25" spans="2:10" ht="11.25" customHeight="1" x14ac:dyDescent="0.25">
      <c r="G25" s="6"/>
    </row>
    <row r="26" spans="2:10" ht="19.5" x14ac:dyDescent="0.25">
      <c r="B26" s="9" t="s">
        <v>16</v>
      </c>
    </row>
    <row r="27" spans="2:10" ht="19.5" x14ac:dyDescent="0.25">
      <c r="B27" s="5">
        <v>4645.93</v>
      </c>
    </row>
    <row r="28" spans="2:10" ht="15" customHeight="1" x14ac:dyDescent="0.3">
      <c r="B28" s="15" t="s">
        <v>19</v>
      </c>
      <c r="F28" s="2"/>
    </row>
  </sheetData>
  <conditionalFormatting sqref="G3:G20">
    <cfRule type="colorScale" priority="3">
      <colorScale>
        <cfvo type="min"/>
        <cfvo type="percentile" val="50"/>
        <cfvo type="max"/>
        <color rgb="FFFF8181"/>
        <color rgb="FFFFD85B"/>
        <color rgb="FF9ECB7F"/>
      </colorScale>
    </cfRule>
  </conditionalFormatting>
  <conditionalFormatting sqref="H3:H20">
    <cfRule type="dataBar" priority="1">
      <dataBar showValue="0">
        <cfvo type="num" val="0"/>
        <cfvo type="num" val="1"/>
        <color rgb="FF7030A0"/>
      </dataBar>
      <extLst>
        <ext xmlns:x14="http://schemas.microsoft.com/office/spreadsheetml/2009/9/main" uri="{B025F937-C7B1-47D3-B67F-A62EFF666E3E}">
          <x14:id>{AFD42E5E-D286-49DD-9C7D-AB44855590DA}</x14:id>
        </ext>
      </extLst>
    </cfRule>
  </conditionalFormatting>
  <pageMargins left="0.7" right="0.7" top="0.75" bottom="0.75" header="0.3" footer="0.3"/>
  <pageSetup paperSize="9" orientation="portrait"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dataBar" id="{AFD42E5E-D286-49DD-9C7D-AB44855590DA}">
            <x14:dataBar minLength="0" maxLength="100" border="1" gradient="0" direction="leftToRight">
              <x14:cfvo type="num">
                <xm:f>0</xm:f>
              </x14:cfvo>
              <x14:cfvo type="num">
                <xm:f>1</xm:f>
              </x14:cfvo>
              <x14:borderColor theme="1"/>
              <x14:negativeFillColor rgb="FFC00000"/>
              <x14:axisColor rgb="FF000000"/>
            </x14:dataBar>
          </x14:cfRule>
          <xm:sqref>H3:H20</xm:sqref>
        </x14:conditionalFormatting>
      </x14:conditionalFormattings>
    </ext>
    <ext xmlns:x15="http://schemas.microsoft.com/office/spreadsheetml/2010/11/main" uri="{3A4CF648-6AED-40f4-86FF-DC5316D8AED3}">
      <x14:slicerList xmlns:x14="http://schemas.microsoft.com/office/spreadsheetml/2009/9/main">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BE57E-B04C-490D-9C7B-A7E053DA2D1A}">
  <sheetPr codeName="Sheet2"/>
  <dimension ref="B1:V34"/>
  <sheetViews>
    <sheetView showGridLines="0" workbookViewId="0"/>
  </sheetViews>
  <sheetFormatPr defaultRowHeight="15" x14ac:dyDescent="0.25"/>
  <cols>
    <col min="1" max="1" width="20.7109375" customWidth="1"/>
    <col min="2" max="2" width="12" bestFit="1" customWidth="1"/>
    <col min="7" max="7" width="17" customWidth="1"/>
    <col min="8" max="8" width="12" customWidth="1"/>
    <col min="9" max="9" width="17.85546875" customWidth="1"/>
    <col min="10" max="10" width="13.7109375" customWidth="1"/>
    <col min="11" max="11" width="8" customWidth="1"/>
    <col min="12" max="12" width="12" customWidth="1"/>
    <col min="13" max="16" width="9.140625" customWidth="1"/>
    <col min="17" max="17" width="17" customWidth="1"/>
    <col min="18" max="18" width="12" customWidth="1"/>
    <col min="19" max="19" width="17.85546875" customWidth="1"/>
  </cols>
  <sheetData>
    <row r="1" spans="2:22" ht="24.95" customHeight="1" x14ac:dyDescent="0.25"/>
    <row r="2" spans="2:22" ht="18.75" x14ac:dyDescent="0.25">
      <c r="B2" s="23" t="s">
        <v>21</v>
      </c>
      <c r="L2" s="23" t="s">
        <v>26</v>
      </c>
    </row>
    <row r="3" spans="2:22" ht="16.5" customHeight="1" x14ac:dyDescent="0.25">
      <c r="B3" s="24" t="str">
        <f>"R/: El total de ventas es de $ " &amp; TEXT(ROUND(SUM(TablaVentas[Ventas COP]), 0), "#.##0") &amp; "."</f>
        <v>R/: El total de ventas es de $ 1.112.853.551.</v>
      </c>
      <c r="C3" s="24"/>
      <c r="D3" s="24"/>
      <c r="E3" s="24"/>
      <c r="F3" s="24"/>
      <c r="G3" s="24"/>
      <c r="H3" s="24"/>
      <c r="I3" s="24"/>
      <c r="L3" s="24" t="str">
        <f>"R/: Los productos con mayores ventas son los productos de " &amp; IF(AND(SUMIF(TablaVentas[Producto], "Accesorios", TablaVentas[Ventas COP])&gt;=SUMIF(TablaVentas[Producto], "Dispositivos", TablaVentas[Ventas COP]), SUMIF(TablaVentas[Producto], "Accesorios", TablaVentas[Ventas COP])&gt;=SUMIF(TablaVentas[Producto], "Sistemas", TablaVentas[Ventas COP])), "accesorios con un total de $ " &amp; TEXT(ROUND(SUMIF(TablaVentas[Producto], "Accesorios", TablaVentas[Ventas COP]), 0), "#.##0") &amp; ".", IF(AND(SUMIF(TablaVentas[Producto], "Dispositivos", TablaVentas[Ventas COP])&gt;=SUMIF(TablaVentas[Producto], "Accesorios", TablaVentas[Ventas COP]), SUMIF(TablaVentas[Producto], "Accesorios", TablaVentas[Ventas COP])&gt;=SUMIF(TablaVentas[Producto], "Sistemas", TablaVentas[Ventas COP])), "dipositivos con un total de $ " &amp; TEXT(ROUND(SUMIF(TablaVentas[Producto], "Dispositivos", TablaVentas[Ventas COP]), 0), "#.##0") &amp; ".", "sistemas con un total de $ " &amp; TEXT(ROUND(SUMIF(TablaVentas[Producto], "Sistemas", TablaVentas[Ventas COP]), 0), "#.##0") &amp; "."))</f>
        <v>R/: Los productos con mayores ventas son los productos de sistemas con un total de $ 620.891.377.</v>
      </c>
      <c r="M3" s="24"/>
      <c r="N3" s="24"/>
      <c r="O3" s="24"/>
      <c r="P3" s="24"/>
      <c r="Q3" s="24"/>
      <c r="R3" s="24"/>
      <c r="S3" s="24"/>
    </row>
    <row r="4" spans="2:22" ht="16.5" customHeight="1" x14ac:dyDescent="0.25">
      <c r="B4" s="24"/>
      <c r="C4" s="24"/>
      <c r="D4" s="24"/>
      <c r="E4" s="24"/>
      <c r="F4" s="24"/>
      <c r="G4" s="24"/>
      <c r="H4" s="24"/>
      <c r="I4" s="24"/>
      <c r="L4" s="24"/>
      <c r="M4" s="24"/>
      <c r="N4" s="24"/>
      <c r="O4" s="24"/>
      <c r="P4" s="24"/>
      <c r="Q4" s="24"/>
      <c r="R4" s="24"/>
      <c r="S4" s="24"/>
    </row>
    <row r="5" spans="2:22" x14ac:dyDescent="0.25">
      <c r="B5" s="24"/>
      <c r="C5" s="24"/>
      <c r="D5" s="24"/>
      <c r="E5" s="24"/>
      <c r="F5" s="24"/>
      <c r="G5" s="24"/>
      <c r="H5" s="24"/>
      <c r="I5" s="24"/>
      <c r="L5" s="24"/>
      <c r="M5" s="24"/>
      <c r="N5" s="24"/>
      <c r="O5" s="24"/>
      <c r="P5" s="24"/>
      <c r="Q5" s="24"/>
      <c r="R5" s="24"/>
      <c r="S5" s="24"/>
    </row>
    <row r="7" spans="2:22" x14ac:dyDescent="0.25">
      <c r="J7" s="21"/>
    </row>
    <row r="8" spans="2:22" ht="18.75" x14ac:dyDescent="0.25">
      <c r="B8" s="23" t="s">
        <v>22</v>
      </c>
      <c r="L8" s="23" t="s">
        <v>27</v>
      </c>
    </row>
    <row r="9" spans="2:22" ht="16.5" customHeight="1" x14ac:dyDescent="0.25">
      <c r="B9" s="24" t="str">
        <f>"R/: La región con menores ventas es la región " &amp; IF(AND(SUMIF(TablaVentas[Region], "Central", TablaVentas[Ventas COP])&lt;=SUMIF(TablaVentas[Region], "Este", TablaVentas[Ventas COP]), SUMIF(TablaVentas[Region], "Central", TablaVentas[Ventas COP])&lt;=SUMIF(TablaVentas[Region], "Oeste", TablaVentas[Ventas COP])), "central con un total de $ " &amp; TEXT(ROUND(SUMIF(TablaVentas[Region], "Central", TablaVentas[Ventas COP]), 0), "#.##0") &amp; ".", IF(AND(SUMIF(TablaVentas[Region], "Este", TablaVentas[Ventas COP])&lt;=SUMIF(TablaVentas[Region], "Central", TablaVentas[Ventas COP]), SUMIF(TablaVentas[Region], "Este", TablaVentas[Ventas COP])&lt;=SUMIF(TablaVentas[Region], "Oeste", TablaVentas[Ventas COP])), "este con un total de $ " &amp; TEXT(ROUND(SUMIF(TablaVentas[Region], "Este", TablaVentas[Ventas COP]), 0), "#.##0") &amp; ".", "oeste con un total de $ " &amp; TEXT(ROUND(SUMIF(TablaVentas[Region], "Oeste", TablaVentas[Ventas COP]), 0), "#.##0") &amp; "."))</f>
        <v>R/: La región con menores ventas es la región este con un total de $ 295.272.081.</v>
      </c>
      <c r="C9" s="24"/>
      <c r="D9" s="24"/>
      <c r="E9" s="24"/>
      <c r="F9" s="24"/>
      <c r="G9" s="24"/>
      <c r="H9" s="24"/>
      <c r="I9" s="24"/>
      <c r="J9" s="24"/>
      <c r="L9" s="24" t="str">
        <f>"R/: Los accesorios cuentan con un " &amp; ROUND(SUMIF(TablaVentas[Producto], "Accesorios", TablaVentas[Ventas COP])/SUM(TablaVentas[Ventas COP])*100, 1) &amp; "%, los dispositivos con un " &amp; ROUND(SUMIF(TablaVentas[Producto], "Dispositivos", TablaVentas[Ventas COP])/SUM(TablaVentas[Ventas COP])*100, 1) &amp; "% y los sistemas con un " &amp; ROUND(SUMIF(TablaVentas[Producto], "Sistemas", TablaVentas[Ventas COP])/SUM(TablaVentas[Ventas COP])*100, 1) &amp; "%."</f>
        <v>R/: Los accesorios cuentan con un 17,7%, los dispositivos con un 26,5% y los sistemas con un 55,8%.</v>
      </c>
      <c r="M9" s="24"/>
      <c r="N9" s="24"/>
      <c r="O9" s="24"/>
      <c r="P9" s="24"/>
      <c r="Q9" s="24"/>
      <c r="R9" s="24"/>
      <c r="S9" s="24"/>
    </row>
    <row r="10" spans="2:22" x14ac:dyDescent="0.25">
      <c r="B10" s="24"/>
      <c r="C10" s="24"/>
      <c r="D10" s="24"/>
      <c r="E10" s="24"/>
      <c r="F10" s="24"/>
      <c r="G10" s="24"/>
      <c r="H10" s="24"/>
      <c r="I10" s="24"/>
      <c r="J10" s="24"/>
      <c r="L10" s="24"/>
      <c r="M10" s="24"/>
      <c r="N10" s="24"/>
      <c r="O10" s="24"/>
      <c r="P10" s="24"/>
      <c r="Q10" s="24"/>
      <c r="R10" s="24"/>
      <c r="S10" s="24"/>
    </row>
    <row r="11" spans="2:22" x14ac:dyDescent="0.25">
      <c r="B11" s="24"/>
      <c r="C11" s="24"/>
      <c r="D11" s="24"/>
      <c r="E11" s="24"/>
      <c r="F11" s="24"/>
      <c r="G11" s="24"/>
      <c r="H11" s="24"/>
      <c r="I11" s="24"/>
      <c r="J11" s="24"/>
      <c r="L11" s="24"/>
      <c r="M11" s="24"/>
      <c r="N11" s="24"/>
      <c r="O11" s="24"/>
      <c r="P11" s="24"/>
      <c r="Q11" s="24"/>
      <c r="R11" s="24"/>
      <c r="S11" s="24"/>
    </row>
    <row r="14" spans="2:22" ht="18.75" x14ac:dyDescent="0.25">
      <c r="B14" s="23" t="s">
        <v>23</v>
      </c>
      <c r="L14" s="23" t="s">
        <v>28</v>
      </c>
    </row>
    <row r="15" spans="2:22" ht="15" customHeight="1" x14ac:dyDescent="0.25">
      <c r="B15" s="24" t="str">
        <f>"R/: La región central cuenta con un " &amp; ROUND(SUMIF(TablaVentas[Region], "Central", TablaVentas[Ventas COP])/SUM(TablaVentas[Ventas COP])*100, 1) &amp; "%, la región este con un " &amp; ROUND(SUMIF(TablaVentas[Region], "Este", TablaVentas[Ventas COP])/SUM(TablaVentas[Ventas COP])*100, 1) &amp; "% y la región oeste con un " &amp; ROUND(SUMIF(TablaVentas[Region], "Oeste", TablaVentas[Ventas COP])/SUM(TablaVentas[Ventas COP])*100, 1) &amp; "%."</f>
        <v>R/: La región central cuenta con un 37,7%, la región este con un 26,5% y la región oeste con un 35,8%.</v>
      </c>
      <c r="C15" s="24"/>
      <c r="D15" s="24"/>
      <c r="E15" s="24"/>
      <c r="F15" s="24"/>
      <c r="G15" s="24"/>
      <c r="H15" s="24"/>
      <c r="I15" s="24"/>
      <c r="L15" s="24" t="str">
        <f>"R/: En la región central el producto con mayores ventas son " &amp; IF(AND(SUMIFS(TablaVentas[Ventas COP], TablaVentas[Region], "Central", TablaVentas[Producto], "Accesorios") &gt;= SUMIFS(TablaVentas[Ventas COP], TablaVentas[Region], "Central", TablaVentas[Producto], "Dispositivos"), SUMIFS(TablaVentas[Ventas COP], TablaVentas[Region], "Central", TablaVentas[Producto], "Accesorios") &gt;= SUMIFS(TablaVentas[Ventas COP], TablaVentas[Region], "Central", TablaVentas[Producto], "Sistemas")), "los accesorios con un total de $" &amp; TEXT(ROUND(SUMIFS(TablaVentas[Ventas COP], TablaVentas[Producto], "Accesorios", TablaVentas[Region], "Central"), 0), "#.##0"), IF(AND(SUMIFS(TablaVentas[Ventas COP], TablaVentas[Region], "Central", TablaVentas[Producto], "Dispositivos") &gt;= SUMIFS(TablaVentas[Ventas COP], TablaVentas[Region], "Central", TablaVentas[Producto], "Accesorios"), SUMIFS(TablaVentas[Ventas COP], TablaVentas[Region], "Central", TablaVentas[Producto], "Dispositivos") &gt;= SUMIFS(TablaVentas[Ventas COP], TablaVentas[Region], "Central", TablaVentas[Producto], "Sistemas")), "los dispositivos con un total de $" &amp; TEXT(ROUND(SUMIFS(TablaVentas[Ventas COP], TablaVentas[Producto], "Dispositivos", TablaVentas[Region], "Central"), 0), "#.##0"), "los sistemas con un total de $" &amp; TEXT(ROUND(SUMIFS(TablaVentas[Ventas COP], TablaVentas[Producto], "Sistemas", TablaVentas[Region], "Central"), 0), "#.##0"))) &amp; "; en la región oeste son " &amp; IF(AND(SUMIFS(TablaVentas[Ventas COP], TablaVentas[Region], "Oeste", TablaVentas[Producto], "Accesorios") &gt;= SUMIFS(TablaVentas[Ventas COP], TablaVentas[Region], "Oeste", TablaVentas[Producto], "Dispositivos"), SUMIFS(TablaVentas[Ventas COP], TablaVentas[Region], "Oeste", TablaVentas[Producto], "Accesorios") &gt;= SUMIFS(TablaVentas[Ventas COP], TablaVentas[Region], "Oeste", TablaVentas[Producto], "Sistemas")), "los accesorios con un total de $" &amp; TEXT(ROUND(SUMIFS(TablaVentas[Ventas COP], TablaVentas[Producto], "Accesorios", TablaVentas[Region], "Oeste"), 0), "#.##0"), IF(AND(SUMIFS(TablaVentas[Ventas COP], TablaVentas[Region], "Oeste", TablaVentas[Producto], "Dispositivos") &gt;= SUMIFS(TablaVentas[Ventas COP], TablaVentas[Region], "Oeste", TablaVentas[Producto], "Accesorios"), SUMIFS(TablaVentas[Ventas COP], TablaVentas[Region], "Oeste", TablaVentas[Producto], "Dispositivos") &gt;= SUMIFS(TablaVentas[Ventas COP], TablaVentas[Region], "Oeste", TablaVentas[Producto], "Sistemas")), "los dispositivos con un total de $" &amp; TEXT(ROUND(SUMIFS(TablaVentas[Ventas COP], TablaVentas[Producto], "Dispositivos", TablaVentas[Region], "Oeste"), 0), "#.##0"), "los sistemas con un total de $" &amp; TEXT(ROUND(SUMIFS(TablaVentas[Ventas COP], TablaVentas[Producto], "Sistemas", TablaVentas[Region], "Oeste"), 0), "#.##0"))) &amp; "; en la región este son " &amp; IF(AND(SUMIFS(TablaVentas[Ventas COP], TablaVentas[Region], "Este", TablaVentas[Producto], "Accesorios") &gt;= SUMIFS(TablaVentas[Ventas COP], TablaVentas[Region], "Este", TablaVentas[Producto], "Dispositivos"), SUMIFS(TablaVentas[Ventas COP], TablaVentas[Region], "Este", TablaVentas[Producto], "Accesorios") &gt;= SUMIFS(TablaVentas[Ventas COP], TablaVentas[Region], "Este", TablaVentas[Producto], "Sistemas")), "los accesorios con un total de $" &amp; TEXT(ROUND(SUMIFS(TablaVentas[Ventas COP], TablaVentas[Producto], "Accesorios", TablaVentas[Region], "Este"), 0), "#.##0"), IF(AND(SUMIFS(TablaVentas[Ventas COP], TablaVentas[Region], "Este", TablaVentas[Producto], "Dispositivos") &gt;= SUMIFS(TablaVentas[Ventas COP], TablaVentas[Region], "Este", TablaVentas[Producto], "Accesorios"), SUMIFS(TablaVentas[Ventas COP], TablaVentas[Region], "Este", TablaVentas[Producto], "Dispositivos") &gt;= SUMIFS(TablaVentas[Ventas COP], TablaVentas[Region], "Este", TablaVentas[Producto], "Sistemas")), "los dispositivos con un total de $" &amp; TEXT(ROUND(SUMIFS(TablaVentas[Ventas COP], TablaVentas[Producto], "Dispositivos", TablaVentas[Region], "Este"), 0), "#.##0"), "los sistemas con un total de $" &amp; TEXT(ROUND(SUMIFS(TablaVentas[Ventas COP], TablaVentas[Producto], "Sistemas", TablaVentas[Region], "Este"), 0), "#.##0")))</f>
        <v>R/: En la región central el producto con mayores ventas son los sistemas con un total de $235.692.675; en la región oeste son los sistemas con un total de $260.199.956; en la región este son los sistemas con un total de $124.998.747</v>
      </c>
      <c r="M15" s="24"/>
      <c r="N15" s="24"/>
      <c r="O15" s="24"/>
      <c r="P15" s="24"/>
      <c r="Q15" s="24"/>
      <c r="R15" s="24"/>
      <c r="S15" s="24"/>
      <c r="T15" s="24"/>
      <c r="U15" s="24"/>
      <c r="V15" s="24"/>
    </row>
    <row r="16" spans="2:22" ht="15" customHeight="1" x14ac:dyDescent="0.25">
      <c r="B16" s="24"/>
      <c r="C16" s="24"/>
      <c r="D16" s="24"/>
      <c r="E16" s="24"/>
      <c r="F16" s="24"/>
      <c r="G16" s="24"/>
      <c r="H16" s="24"/>
      <c r="I16" s="24"/>
      <c r="K16" s="20"/>
      <c r="L16" s="24"/>
      <c r="M16" s="24"/>
      <c r="N16" s="24"/>
      <c r="O16" s="24"/>
      <c r="P16" s="24"/>
      <c r="Q16" s="24"/>
      <c r="R16" s="24"/>
      <c r="S16" s="24"/>
      <c r="T16" s="24"/>
      <c r="U16" s="24"/>
      <c r="V16" s="24"/>
    </row>
    <row r="17" spans="2:22" ht="15" customHeight="1" x14ac:dyDescent="0.25">
      <c r="B17" s="24"/>
      <c r="C17" s="24"/>
      <c r="D17" s="24"/>
      <c r="E17" s="24"/>
      <c r="F17" s="24"/>
      <c r="G17" s="24"/>
      <c r="H17" s="24"/>
      <c r="I17" s="24"/>
      <c r="K17" s="20"/>
      <c r="L17" s="24"/>
      <c r="M17" s="24"/>
      <c r="N17" s="24"/>
      <c r="O17" s="24"/>
      <c r="P17" s="24"/>
      <c r="Q17" s="24"/>
      <c r="R17" s="24"/>
      <c r="S17" s="24"/>
      <c r="T17" s="24"/>
      <c r="U17" s="24"/>
      <c r="V17" s="24"/>
    </row>
    <row r="18" spans="2:22" x14ac:dyDescent="0.25">
      <c r="L18" s="24"/>
      <c r="M18" s="24"/>
      <c r="N18" s="24"/>
      <c r="O18" s="24"/>
      <c r="P18" s="24"/>
      <c r="Q18" s="24"/>
      <c r="R18" s="24"/>
      <c r="S18" s="24"/>
      <c r="T18" s="24"/>
      <c r="U18" s="24"/>
      <c r="V18" s="24"/>
    </row>
    <row r="20" spans="2:22" ht="18.75" x14ac:dyDescent="0.25">
      <c r="B20" s="23" t="s">
        <v>24</v>
      </c>
    </row>
    <row r="21" spans="2:22" ht="16.5" customHeight="1" x14ac:dyDescent="0.25">
      <c r="B21" s="24" t="str">
        <f>"R/: El vendedor con mayores ventas es " &amp; IF(AND(SUMIF(TablaVentas[Vendedor], "Ana", TablaVentas[Ventas COP]) &gt; SUMIF(TablaVentas[Vendedor], "David", TablaVentas[Ventas COP]), SUMIF(TablaVentas[Vendedor], "Ana", TablaVentas[Ventas COP]) &gt; SUMIF(TablaVentas[Vendedor], "Karen", TablaVentas[Ventas COP]), SUMIF(TablaVentas[Vendedor], "Ana", TablaVentas[Ventas COP]) &gt; SUMIF(TablaVentas[Vendedor], "Kevin", TablaVentas[Ventas COP]), SUMIF(TablaVentas[Vendedor], "Ana", TablaVentas[Ventas COP]) &gt; SUMIF(TablaVentas[Vendedor], "Lucas", TablaVentas[Ventas COP]), SUMIF(TablaVentas[Vendedor], "Ana", TablaVentas[Ventas COP]) &gt; SUMIF(TablaVentas[Vendedor], "Sara", TablaVentas[Ventas COP])), "Ana con un total de $" &amp; TEXT(ROUND(SUMIF(TablaVentas[Vendedor], "Ana", TablaVentas[Ventas COP]), 0), "#.##0") &amp; ".", IF(AND(SUMIF(TablaVentas[Vendedor], "David", TablaVentas[Ventas COP]) &gt; SUMIF(TablaVentas[Vendedor], "Ana", TablaVentas[Ventas COP]), SUMIF(TablaVentas[Vendedor], "David", TablaVentas[Ventas COP]) &gt; SUMIF(TablaVentas[Vendedor], "Karen", TablaVentas[Ventas COP]), SUMIF(TablaVentas[Vendedor], "David", TablaVentas[Ventas COP]) &gt; SUMIF(TablaVentas[Vendedor], "Kevin", TablaVentas[Ventas COP]), SUMIF(TablaVentas[Vendedor], "David", TablaVentas[Ventas COP]) &gt; SUMIF(TablaVentas[Vendedor], "Lucas", TablaVentas[Ventas COP]), SUMIF(TablaVentas[Vendedor], "David", TablaVentas[Ventas COP]) &gt; SUMIF(TablaVentas[Vendedor], "Sara", TablaVentas[Ventas COP])), "David con un total de $" &amp; TEXT(ROUND(SUMIF(TablaVentas[Vendedor], "David", TablaVentas[Ventas COP]), 0), "#.##0") &amp; ".", IF(AND(SUMIF(TablaVentas[Vendedor], "Karen", TablaVentas[Ventas COP]) &gt; SUMIF(TablaVentas[Vendedor], "Ana", TablaVentas[Ventas COP]), SUMIF(TablaVentas[Vendedor], "Karen", TablaVentas[Ventas COP]) &gt; SUMIF(TablaVentas[Vendedor], "David", TablaVentas[Ventas COP]), SUMIF(TablaVentas[Vendedor], "Karen", TablaVentas[Ventas COP]) &gt; SUMIF(TablaVentas[Vendedor], "Kevin", TablaVentas[Ventas COP]), SUMIF(TablaVentas[Vendedor], "Karen", TablaVentas[Ventas COP]) &gt; SUMIF(TablaVentas[Vendedor], "Lucas", TablaVentas[Ventas COP]), SUMIF(TablaVentas[Vendedor], "Karen", TablaVentas[Ventas COP]) &gt; SUMIF(TablaVentas[Vendedor], "Sara", TablaVentas[Ventas COP])), "Karen con un total de $" &amp; TEXT(ROUND(SUMIF(TablaVentas[Vendedor], "Karen", TablaVentas[Ventas COP]), 0), "#.##0") &amp; ".", IF(AND(SUMIF(TablaVentas[Vendedor], "Kevin", TablaVentas[Ventas COP]) &gt; SUMIF(TablaVentas[Vendedor], "Ana", TablaVentas[Ventas COP]), SUMIF(TablaVentas[Vendedor], "Kevin", TablaVentas[Ventas COP]) &gt; SUMIF(TablaVentas[Vendedor], "David", TablaVentas[Ventas COP]), SUMIF(TablaVentas[Vendedor], "Kevin", TablaVentas[Ventas COP]) &gt; SUMIF(TablaVentas[Vendedor], "Karen", TablaVentas[Ventas COP]), SUMIF(TablaVentas[Vendedor], "Kevin", TablaVentas[Ventas COP]) &gt; SUMIF(TablaVentas[Vendedor], "Lucas", TablaVentas[Ventas COP]), SUMIF(TablaVentas[Vendedor], "Kevin", TablaVentas[Ventas COP]) &gt; SUMIF(TablaVentas[Vendedor], "Sara", TablaVentas[Ventas COP])), "Kevin con un total de $" &amp; TEXT(ROUND(SUMIF(TablaVentas[Vendedor], "Kevin", TablaVentas[Ventas COP]), 0), "#.##0") &amp; ".", IF(AND(SUMIF(TablaVentas[Vendedor], "Lucas", TablaVentas[Ventas COP]) &gt; SUMIF(TablaVentas[Vendedor], "Ana", TablaVentas[Ventas COP]), SUMIF(TablaVentas[Vendedor], "Lucas", TablaVentas[Ventas COP]) &gt; SUMIF(TablaVentas[Vendedor], "David", TablaVentas[Ventas COP]), SUMIF(TablaVentas[Vendedor], "Lucas", TablaVentas[Ventas COP]) &gt; SUMIF(TablaVentas[Vendedor], "Karen", TablaVentas[Ventas COP]), SUMIF(TablaVentas[Vendedor], "Lucas", TablaVentas[Ventas COP]) &gt; SUMIF(TablaVentas[Vendedor], "Kevin", TablaVentas[Ventas COP]), SUMIF(TablaVentas[Vendedor], "Lucas", TablaVentas[Ventas COP]) &gt; SUMIF(TablaVentas[Vendedor], "Sara", TablaVentas[Ventas COP])), "Lucas con un total de $" &amp; TEXT(ROUND(SUMIF(TablaVentas[Vendedor], "Lucas", TablaVentas[Ventas COP]), 0), "#.##0") &amp; ".", "Sara con un total de $" &amp; TEXT(ROUND(SUMIF(TablaVentas[Vendedor], "Sara", TablaVentas[Ventas COP]), 0), "#.##0") &amp; ".")))))</f>
        <v>R/: El vendedor con mayores ventas es Karen con un total de $234.573.006.</v>
      </c>
      <c r="C21" s="24"/>
      <c r="D21" s="24"/>
      <c r="E21" s="24"/>
      <c r="F21" s="24"/>
      <c r="G21" s="24"/>
      <c r="H21" s="24"/>
      <c r="I21" s="24"/>
      <c r="L21" s="23" t="s">
        <v>30</v>
      </c>
      <c r="M21" s="19"/>
    </row>
    <row r="22" spans="2:22" ht="15" customHeight="1" x14ac:dyDescent="0.25">
      <c r="B22" s="24"/>
      <c r="C22" s="24"/>
      <c r="D22" s="24"/>
      <c r="E22" s="24"/>
      <c r="F22" s="24"/>
      <c r="G22" s="24"/>
      <c r="H22" s="24"/>
      <c r="I22" s="24"/>
      <c r="L22" s="24" t="str">
        <f>"R/: Las fechas en que se superaron el promedio de ventas son: " &amp; _xlfn.TEXTJOIN(", ", TRUE, IF('Datos De Ventas'!G16&gt;AVERAGE(TablaVentas[Ventas COP]), TEXT('Datos De Ventas'!B16, "d-mmm-yyyy"), ""), IF('Datos De Ventas'!G18&gt;AVERAGE(TablaVentas[Ventas COP]), TEXT('Datos De Ventas'!B18, "d-mmm-yyyy"), ""), IF('Datos De Ventas'!G10&gt;AVERAGE(TablaVentas[Ventas COP]), TEXT('Datos De Ventas'!B10, "d-mmm-yyyy"), ""), IF('Datos De Ventas'!G9&gt;AVERAGE(TablaVentas[Ventas COP]), TEXT('Datos De Ventas'!B9, "d-mmm-yyyy"), ""), IF('Datos De Ventas'!G6&gt;AVERAGE(TablaVentas[Ventas COP]), TEXT('Datos De Ventas'!B6, "d-mmm-yyyy"), ""), IF('Datos De Ventas'!G4&gt;AVERAGE(TablaVentas[Ventas COP]), TEXT('Datos De Ventas'!B4, "d-mmm-yyyy"), ""), IF('Datos De Ventas'!G13&gt;AVERAGE(TablaVentas[Ventas COP]), TEXT('Datos De Ventas'!B13, "d-mmm-yyyy"), ""), IF('Datos De Ventas'!G17&gt;AVERAGE(TablaVentas[Ventas COP]), TEXT('Datos De Ventas'!B17, "d-mmm-yyyy"), ""), IF('Datos De Ventas'!G12&gt;AVERAGE(TablaVentas[Ventas COP]), TEXT('Datos De Ventas'!B12, "d-mmm-yyyy"), ""), IF('Datos De Ventas'!G14&gt;AVERAGE(TablaVentas[Ventas COP]), TEXT('Datos De Ventas'!B14, "d-mmm-yyyy"), ""), IF('Datos De Ventas'!G7&gt;AVERAGE(TablaVentas[Ventas COP]), TEXT('Datos De Ventas'!B7, "d-mmm-yyyy"), ""), IF('Datos De Ventas'!G8&gt;AVERAGE(TablaVentas[Ventas COP]), TEXT('Datos De Ventas'!B8, "d-mmm-yyyy"), ""), IF('Datos De Ventas'!G20&gt;AVERAGE(TablaVentas[Ventas COP]), TEXT('Datos De Ventas'!B20, "d-mmm-yyyy"), ""), IF('Datos De Ventas'!G19&gt;AVERAGE(TablaVentas[Ventas COP]), TEXT('Datos De Ventas'!B19, "d-mmm-yyyy"), ""), IF('Datos De Ventas'!G11&gt;AVERAGE(TablaVentas[Ventas COP]), TEXT('Datos De Ventas'!B11, "d-mmm-yyyy"), ""), IF('Datos De Ventas'!G15&gt;AVERAGE(TablaVentas[Ventas COP]), TEXT('Datos De Ventas'!B15, "d-mmm-yyyy"), ""), IF('Datos De Ventas'!G3&gt;AVERAGE(TablaVentas[Ventas COP]), TEXT('Datos De Ventas'!B3, "d-mmm-yyyy"), ""), IF('Datos De Ventas'!G5&gt;AVERAGE(TablaVentas[Ventas COP]), TEXT('Datos De Ventas'!B5, "d-mmm-yyyy"), ""),) &amp; "."</f>
        <v>R/: Las fechas en que se superaron el promedio de ventas son: 4-feb-2024, 5-feb-2024, 10-feb-2024, 11-feb-2024, 16-feb-2024, 17-feb-2024.</v>
      </c>
      <c r="M22" s="24"/>
      <c r="N22" s="24"/>
      <c r="O22" s="24"/>
      <c r="P22" s="24"/>
      <c r="Q22" s="24"/>
      <c r="R22" s="24"/>
      <c r="S22" s="24"/>
      <c r="T22" s="24"/>
      <c r="U22" s="24"/>
      <c r="V22" s="24"/>
    </row>
    <row r="23" spans="2:22" ht="15" customHeight="1" x14ac:dyDescent="0.25">
      <c r="B23" s="24"/>
      <c r="C23" s="24"/>
      <c r="D23" s="24"/>
      <c r="E23" s="24"/>
      <c r="F23" s="24"/>
      <c r="G23" s="24"/>
      <c r="H23" s="24"/>
      <c r="I23" s="24"/>
      <c r="L23" s="24"/>
      <c r="M23" s="24"/>
      <c r="N23" s="24"/>
      <c r="O23" s="24"/>
      <c r="P23" s="24"/>
      <c r="Q23" s="24"/>
      <c r="R23" s="24"/>
      <c r="S23" s="24"/>
      <c r="T23" s="24"/>
      <c r="U23" s="24"/>
      <c r="V23" s="24"/>
    </row>
    <row r="24" spans="2:22" ht="15" customHeight="1" x14ac:dyDescent="0.25">
      <c r="L24" s="24"/>
      <c r="M24" s="24"/>
      <c r="N24" s="24"/>
      <c r="O24" s="24"/>
      <c r="P24" s="24"/>
      <c r="Q24" s="24"/>
      <c r="R24" s="24"/>
      <c r="S24" s="24"/>
      <c r="T24" s="24"/>
      <c r="U24" s="24"/>
      <c r="V24" s="24"/>
    </row>
    <row r="26" spans="2:22" ht="18.75" x14ac:dyDescent="0.25">
      <c r="B26" s="23" t="s">
        <v>25</v>
      </c>
    </row>
    <row r="27" spans="2:22" ht="16.5" customHeight="1" x14ac:dyDescent="0.25">
      <c r="B27" s="24" t="str">
        <f>"R/: Ni un vendedor realizó más ventas que otro, pues de los " &amp; SUMPRODUCT(1/COUNTIF(TablaVentas[Vendedor], TablaVentas[Vendedor])) &amp; " vendedores cada uno tuvieron un total de " &amp; COUNTA(TablaVentas[Vendedor])/SUMPRODUCT(1/COUNTIF(TablaVentas[Vendedor], TablaVentas[Vendedor])) &amp; " ventas."</f>
        <v>R/: Ni un vendedor realizó más ventas que otro, pues de los 6 vendedores cada uno tuvieron un total de 3 ventas.</v>
      </c>
      <c r="C27" s="24"/>
      <c r="D27" s="24"/>
      <c r="E27" s="24"/>
      <c r="F27" s="24"/>
      <c r="G27" s="24"/>
      <c r="H27" s="24"/>
      <c r="I27" s="24"/>
      <c r="L27" s="23" t="s">
        <v>29</v>
      </c>
    </row>
    <row r="28" spans="2:22" ht="15" customHeight="1" x14ac:dyDescent="0.25">
      <c r="B28" s="24"/>
      <c r="C28" s="24"/>
      <c r="D28" s="24"/>
      <c r="E28" s="24"/>
      <c r="F28" s="24"/>
      <c r="G28" s="24"/>
      <c r="H28" s="24"/>
      <c r="I28" s="24"/>
      <c r="L28" s="24" t="str">
        <f>"R/: La única columna que tiene una correlación con las ventas es la columna producto con una correlación positiva de " &amp; ROUND(CORREL(CREATEARRAY(TablaVentas[Producto]), TablaVentas[Ventas COP]), 2) &amp; ". A diferencia de las columnas fecha, región y vendedor con correlaciones de " &amp; ROUND(CORREL(TablaVentas[Fecha], TablaVentas[Ventas COP]), 2) &amp; ", " &amp; ROUND(CORREL(CREATEARRAY(TablaVentas[Region]), TablaVentas[Ventas COP]), 2) &amp; ", " &amp; ROUND(CORREL(CREATEARRAY(TablaVentas[Vendedor]), TablaVentas[Ventas COP]), 2)  &amp; " respectivamente."</f>
        <v>R/: La única columna que tiene una correlación con las ventas es la columna producto con una correlación positiva de 0,78. A diferencia de las columnas fecha, región y vendedor con correlaciones de 0,21, -0,04, -0,02 respectivamente.</v>
      </c>
      <c r="M28" s="24"/>
      <c r="N28" s="24"/>
      <c r="O28" s="24"/>
      <c r="P28" s="24"/>
      <c r="Q28" s="24"/>
      <c r="R28" s="24"/>
      <c r="S28" s="24"/>
      <c r="T28" s="24"/>
      <c r="U28" s="24"/>
      <c r="V28" s="24"/>
    </row>
    <row r="29" spans="2:22" ht="15" customHeight="1" x14ac:dyDescent="0.25">
      <c r="B29" s="24"/>
      <c r="C29" s="24"/>
      <c r="D29" s="24"/>
      <c r="E29" s="24"/>
      <c r="F29" s="24"/>
      <c r="G29" s="24"/>
      <c r="H29" s="24"/>
      <c r="I29" s="24"/>
      <c r="L29" s="24"/>
      <c r="M29" s="24"/>
      <c r="N29" s="24"/>
      <c r="O29" s="24"/>
      <c r="P29" s="24"/>
      <c r="Q29" s="24"/>
      <c r="R29" s="24"/>
      <c r="S29" s="24"/>
      <c r="T29" s="24"/>
      <c r="U29" s="24"/>
      <c r="V29" s="24"/>
    </row>
    <row r="30" spans="2:22" ht="15" customHeight="1" x14ac:dyDescent="0.25">
      <c r="L30" s="24"/>
      <c r="M30" s="24"/>
      <c r="N30" s="24"/>
      <c r="O30" s="24"/>
      <c r="P30" s="24"/>
      <c r="Q30" s="24"/>
      <c r="R30" s="24"/>
      <c r="S30" s="24"/>
      <c r="T30" s="24"/>
      <c r="U30" s="24"/>
      <c r="V30" s="24"/>
    </row>
    <row r="31" spans="2:22" x14ac:dyDescent="0.25">
      <c r="L31" s="24"/>
      <c r="M31" s="24"/>
      <c r="N31" s="24"/>
      <c r="O31" s="24"/>
      <c r="P31" s="24"/>
      <c r="Q31" s="24"/>
      <c r="R31" s="24"/>
      <c r="S31" s="24"/>
      <c r="T31" s="24"/>
      <c r="U31" s="24"/>
      <c r="V31" s="24"/>
    </row>
    <row r="32" spans="2:22" x14ac:dyDescent="0.25">
      <c r="I32" s="22"/>
    </row>
    <row r="34" spans="8:8" x14ac:dyDescent="0.25">
      <c r="H34" s="22"/>
    </row>
  </sheetData>
  <mergeCells count="10">
    <mergeCell ref="B3:I5"/>
    <mergeCell ref="B9:J11"/>
    <mergeCell ref="B15:I17"/>
    <mergeCell ref="B21:I23"/>
    <mergeCell ref="B27:I29"/>
    <mergeCell ref="L3:S5"/>
    <mergeCell ref="L9:S11"/>
    <mergeCell ref="L15:V18"/>
    <mergeCell ref="L22:V24"/>
    <mergeCell ref="L28:V31"/>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39519A3-062A-4477-B1BB-424B40741F2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Datos De Ventas</vt:lpstr>
      <vt:lpstr>Preguntas De Negocio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Miguel Angel</dc:creator>
  <cp:lastModifiedBy>Miguel Angel</cp:lastModifiedBy>
  <dcterms:created xsi:type="dcterms:W3CDTF">2019-07-13T22:11:28Z</dcterms:created>
  <dcterms:modified xsi:type="dcterms:W3CDTF">2024-09-15T23:05:30Z</dcterms:modified>
</cp:coreProperties>
</file>